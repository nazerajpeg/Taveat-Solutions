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0-Day Plan" sheetId="1" state="visible" r:id="rId3"/>
    <sheet name="Scoreboard" sheetId="2" state="visible" r:id="rId4"/>
    <sheet name="Rules" sheetId="3" state="visible" r:id="rId5"/>
  </sheets>
  <definedNames>
    <definedName function="false" hidden="false" localSheetId="0" name="_xlnm.Print_Titles" vbProcedure="false">'90-Day Plan'!$5:$5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<sst xmlns="http://schemas.openxmlformats.org/spreadsheetml/2006/main" count="141" uniqueCount="120">
  <si>
    <t xml:space="preserve">Taveat Solutions: 90-Day Launch Plan</t>
  </si>
  <si>
    <t xml:space="preserve">Start date (Monday):</t>
  </si>
  <si>
    <t xml:space="preserve">Change this date and every week's date updates.</t>
  </si>
  <si>
    <t xml:space="preserve">Weeks done:</t>
  </si>
  <si>
    <t xml:space="preserve">How to use: yellow cells are yours to fill in. Set "Done?" to Yes when the week's goal is met.</t>
  </si>
  <si>
    <t xml:space="preserve">Week</t>
  </si>
  <si>
    <t xml:space="preserve">Week of</t>
  </si>
  <si>
    <t xml:space="preserve">Phase</t>
  </si>
  <si>
    <t xml:space="preserve">Focus</t>
  </si>
  <si>
    <t xml:space="preserve">Build (agents and tools)</t>
  </si>
  <si>
    <t xml:space="preserve">Sell</t>
  </si>
  <si>
    <t xml:space="preserve">Deliver to clients</t>
  </si>
  <si>
    <t xml:space="preserve">End-of-week goal</t>
  </si>
  <si>
    <t xml:space="preserve">Done?</t>
  </si>
  <si>
    <t xml:space="preserve">Notes</t>
  </si>
  <si>
    <t xml:space="preserve">1. Get ready</t>
  </si>
  <si>
    <t xml:space="preserve">Finish the setup</t>
  </si>
  <si>
    <t xml:space="preserve">Run the updated Airtable setup. Reconnect the Process Mapper's Airtable step. Import the Opportunity Scorer and test both end to end.</t>
  </si>
  <si>
    <t xml:space="preserve">Pick your industry (recommended: Shopify brands). List 50 target businesses. Tailor the sales sheet to that industry.</t>
  </si>
  <si>
    <t xml:space="preserve">None yet</t>
  </si>
  <si>
    <t xml:space="preserve">Both agents save to Airtable</t>
  </si>
  <si>
    <t xml:space="preserve">No</t>
  </si>
  <si>
    <t xml:space="preserve">Practise the audit</t>
  </si>
  <si>
    <t xml:space="preserve">Copy the audit report template into Google Docs. Build the leak calculator spreadsheet (formulas in PROFIT_LEAK_AUDIT.md).</t>
  </si>
  <si>
    <t xml:space="preserve">Recruit 2 to 3 friendly businesses for a free practice audit. Start posting 3 times a week (LinkedIn or Instagram).</t>
  </si>
  <si>
    <t xml:space="preserve">Practice audit 1: calls and maps</t>
  </si>
  <si>
    <t xml:space="preserve">First practice audit report finished</t>
  </si>
  <si>
    <t xml:space="preserve">Spec Writer + outreach</t>
  </si>
  <si>
    <t xml:space="preserve">Build the Spec Writer agent (F-1).</t>
  </si>
  <si>
    <t xml:space="preserve">Message 10 target businesses a day. Ask practice businesses for testimonials.</t>
  </si>
  <si>
    <t xml:space="preserve">Practice audits 2 and 3</t>
  </si>
  <si>
    <t xml:space="preserve">2 testimonials, 5 sales calls booked</t>
  </si>
  <si>
    <t xml:space="preserve">QA Agent (short week: Thanksgiving)</t>
  </si>
  <si>
    <t xml:space="preserve">Build the QA Agent (F-3). Phase 1 agents complete.</t>
  </si>
  <si>
    <t xml:space="preserve">Hold sales calls. Offer the $497 paid audit.</t>
  </si>
  <si>
    <t xml:space="preserve">None</t>
  </si>
  <si>
    <t xml:space="preserve">4 agents running, first paid audit sold</t>
  </si>
  <si>
    <t xml:space="preserve">2. First revenue</t>
  </si>
  <si>
    <t xml:space="preserve">First paid audit</t>
  </si>
  <si>
    <t xml:space="preserve">Set up basic monitoring: n8n error alerts to Slack or email.</t>
  </si>
  <si>
    <t xml:space="preserve">Keep up outreach and sales calls.</t>
  </si>
  <si>
    <t xml:space="preserve">Paid audit 1</t>
  </si>
  <si>
    <t xml:space="preserve">First $497 earned, package recommended</t>
  </si>
  <si>
    <t xml:space="preserve">Close the first client</t>
  </si>
  <si>
    <t xml:space="preserve">Turn the instant lead reply and review request automations into reusable templates.</t>
  </si>
  <si>
    <t xml:space="preserve">Convert audit 1 into a package. Sell audit 2.</t>
  </si>
  <si>
    <t xml:space="preserve">Paid audit 2</t>
  </si>
  <si>
    <t xml:space="preserve">First package signed</t>
  </si>
  <si>
    <t xml:space="preserve">Quick win for client 1</t>
  </si>
  <si>
    <t xml:space="preserve">Build the Insight tools: customer groups (best, at risk, lapsed) from a Shopify export.</t>
  </si>
  <si>
    <t xml:space="preserve">Push the founding-client offer (30% off for a case study).</t>
  </si>
  <si>
    <t xml:space="preserve">Client 1 setup: quick win live within 14 days</t>
  </si>
  <si>
    <t xml:space="preserve">Client 1 sees a result</t>
  </si>
  <si>
    <t xml:space="preserve">Holiday week (light)</t>
  </si>
  <si>
    <t xml:space="preserve">Build the pricing and product analysis template.</t>
  </si>
  <si>
    <t xml:space="preserve">Holiday posts. Book January sales calls.</t>
  </si>
  <si>
    <t xml:space="preserve">Client 1 setup continues</t>
  </si>
  <si>
    <t xml:space="preserve">Client 1 fully live</t>
  </si>
  <si>
    <t xml:space="preserve">3. Insight and ads</t>
  </si>
  <si>
    <t xml:space="preserve">Holiday week: practise ads</t>
  </si>
  <si>
    <t xml:space="preserve">Practise with Higgsfield: make 10 ads for a sample product. Set up a brand in Ads Studio.</t>
  </si>
  <si>
    <t xml:space="preserve">Plan January outreach.</t>
  </si>
  <si>
    <t xml:space="preserve">Monitoring only</t>
  </si>
  <si>
    <t xml:space="preserve">Ad-making process tested</t>
  </si>
  <si>
    <t xml:space="preserve">Monthly reporting</t>
  </si>
  <si>
    <t xml:space="preserve">Build the win-back campaign template. Draft the Value Reporter agent (M-3).</t>
  </si>
  <si>
    <t xml:space="preserve">Restart outreach. Run audits 3 and 4.</t>
  </si>
  <si>
    <t xml:space="preserve">Client 1's first monthly report. Onboard client 2.</t>
  </si>
  <si>
    <t xml:space="preserve">2 paying clients</t>
  </si>
  <si>
    <t xml:space="preserve">First Insight client</t>
  </si>
  <si>
    <t xml:space="preserve">Build the Monitor agent (M-1) properly.</t>
  </si>
  <si>
    <t xml:space="preserve">Pitch the Insight upgrade to client 1. Run audit 5.</t>
  </si>
  <si>
    <t xml:space="preserve">Client 2 setup. Insight work begins.</t>
  </si>
  <si>
    <t xml:space="preserve">First Insight client in setup</t>
  </si>
  <si>
    <t xml:space="preserve">First Growth Partner pitch</t>
  </si>
  <si>
    <t xml:space="preserve">Build the weekly ad performance report template.</t>
  </si>
  <si>
    <t xml:space="preserve">Pitch Growth Partner to a prospect spending $3K+ a month on ads.</t>
  </si>
  <si>
    <t xml:space="preserve">Client 2 quick win. Insight dashboard delivered.</t>
  </si>
  <si>
    <t xml:space="preserve">3 clients signed</t>
  </si>
  <si>
    <t xml:space="preserve">4. Review</t>
  </si>
  <si>
    <t xml:space="preserve">90-day review</t>
  </si>
  <si>
    <t xml:space="preserve">Choose the next agents to build (A-2, A-3, F-4), based on which manual work hurts most.</t>
  </si>
  <si>
    <t xml:space="preserve">Turn client 1's results into a case study. Update the sales sheet.</t>
  </si>
  <si>
    <t xml:space="preserve">Monthly reports for all clients</t>
  </si>
  <si>
    <t xml:space="preserve">Review the Scoreboard and set the next 90 days</t>
  </si>
  <si>
    <t xml:space="preserve">Scoreboard: targets at day 30, 60 and 90</t>
  </si>
  <si>
    <t xml:space="preserve">Fill in the yellow Actual cells. Status updates on its own. Targets are cumulative (totals so far).</t>
  </si>
  <si>
    <t xml:space="preserve">Measure</t>
  </si>
  <si>
    <t xml:space="preserve">Day 30 target</t>
  </si>
  <si>
    <t xml:space="preserve">Day 30 actual</t>
  </si>
  <si>
    <t xml:space="preserve">Day 30 status</t>
  </si>
  <si>
    <t xml:space="preserve">Day 60 target</t>
  </si>
  <si>
    <t xml:space="preserve">Day 60 actual</t>
  </si>
  <si>
    <t xml:space="preserve">Day 60 status</t>
  </si>
  <si>
    <t xml:space="preserve">Day 90 target</t>
  </si>
  <si>
    <t xml:space="preserve">Day 90 actual</t>
  </si>
  <si>
    <t xml:space="preserve">Day 90 status</t>
  </si>
  <si>
    <t xml:space="preserve">Why this target</t>
  </si>
  <si>
    <t xml:space="preserve">Agents running</t>
  </si>
  <si>
    <t xml:space="preserve">Phase 1 (4 agents) by week 4; Monitor and Value Reporter by week 11</t>
  </si>
  <si>
    <t xml:space="preserve">Practice audits done</t>
  </si>
  <si>
    <t xml:space="preserve">Practice on friendly businesses before charging</t>
  </si>
  <si>
    <t xml:space="preserve">Paid audits sold</t>
  </si>
  <si>
    <t xml:space="preserve">About 1 every 2 weeks once outreach is steady</t>
  </si>
  <si>
    <t xml:space="preserve">Sales calls held</t>
  </si>
  <si>
    <t xml:space="preserve">Assumes 10 outreach messages a day</t>
  </si>
  <si>
    <t xml:space="preserve">Clients signed</t>
  </si>
  <si>
    <t xml:space="preserve">Assumes about half of paid audits convert (audit guide target)</t>
  </si>
  <si>
    <t xml:space="preserve">Monthly recurring revenue ($)</t>
  </si>
  <si>
    <t xml:space="preserve">Example mix at day 90: 1 Insight ($1,750) + 2 Foundation ($750 each), list prices before founding discount</t>
  </si>
  <si>
    <t xml:space="preserve">Testimonials or case studies</t>
  </si>
  <si>
    <t xml:space="preserve">From practice audits first, then client 1</t>
  </si>
  <si>
    <t xml:space="preserve">Rules for running this plan solo</t>
  </si>
  <si>
    <t xml:space="preserve">Build an agent only when doing that job by hand starts costing you real time.</t>
  </si>
  <si>
    <t xml:space="preserve">Never set up more than 2 clients at the same time.</t>
  </si>
  <si>
    <t xml:space="preserve">Take on at most 3 Growth Partner clients while you're solo.</t>
  </si>
  <si>
    <t xml:space="preserve">Spend about 30% of your week on sales and marketing, every week.</t>
  </si>
  <si>
    <t xml:space="preserve">If you're behind on clients, spend spare time on outreach, not on building more agents.</t>
  </si>
  <si>
    <t xml:space="preserve">Tell Growth Partner clients that real ad results arrive around month 3.</t>
  </si>
  <si>
    <t xml:space="preserve">First hire (at about 6 to 8 clients): a part-time ad editor or assistant.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</si>
</sst>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d\ d\ mmm\ yyyy"/>
    <numFmt numFmtId="166" formatCode="0%"/>
    <numFmt numFmtId="167" formatCode="d\ mmm"/>
    <numFmt numFmtId="168" formatCode="\$#,##0;&quot;($&quot;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4E62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3261F"/>
        <bgColor rgb="FF333333"/>
      </patternFill>
    </fill>
    <fill>
      <patternFill patternType="solid">
        <fgColor rgb="FFE3F0EA"/>
        <bgColor rgb="FFE6ECFA"/>
      </patternFill>
    </fill>
    <fill>
      <patternFill patternType="solid">
        <fgColor rgb="FFFFF3D6"/>
        <bgColor rgb="FFF1E6F5"/>
      </patternFill>
    </fill>
    <fill>
      <patternFill patternType="solid">
        <fgColor rgb="FFE6ECFA"/>
        <bgColor rgb="FFE3F0EA"/>
      </patternFill>
    </fill>
    <fill>
      <patternFill patternType="solid">
        <fgColor rgb="FFF1E6F5"/>
        <bgColor rgb="FFE6EC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E"/>
      </left>
      <right style="thin">
        <color rgb="FFC9D3CE"/>
      </right>
      <top style="thin">
        <color rgb="FFC9D3CE"/>
      </top>
      <bottom style="thin">
        <color rgb="FFC9D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E6B34"/>
      </font>
      <fill>
        <patternFill>
          <bgColor rgb="FFB7E1C1"/>
        </patternFill>
      </fill>
    </dxf>
    <dxf>
      <fill>
        <patternFill>
          <bgColor rgb="FFB7E1C1"/>
        </patternFill>
      </fill>
    </dxf>
    <dxf>
      <fill>
        <patternFill>
          <bgColor rgb="FFF6C9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808000"/>
      <rgbColor rgb="FF800080"/>
      <rgbColor rgb="FF008080"/>
      <rgbColor rgb="FFC9D3CE"/>
      <rgbColor rgb="FF808080"/>
      <rgbColor rgb="FF9999FF"/>
      <rgbColor rgb="FF993366"/>
      <rgbColor rgb="FFFFF3D6"/>
      <rgbColor rgb="FFE3F0EA"/>
      <rgbColor rgb="FF660066"/>
      <rgbColor rgb="FFFF8080"/>
      <rgbColor rgb="FF0066CC"/>
      <rgbColor rgb="FFF1E6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CFA"/>
      <rgbColor rgb="FFB7E1C1"/>
      <rgbColor rgb="FFFFFF99"/>
      <rgbColor rgb="FF99CCFF"/>
      <rgbColor rgb="FFFF99CC"/>
      <rgbColor rgb="FFCC99FF"/>
      <rgbColor rgb="FFF6C9C3"/>
      <rgbColor rgb="FF3366FF"/>
      <rgbColor rgb="FF33CCCC"/>
      <rgbColor rgb="FF99CC00"/>
      <rgbColor rgb="FFFFCC00"/>
      <rgbColor rgb="FFFF9900"/>
      <rgbColor rgb="FFFF6600"/>
      <rgbColor rgb="FF4E625A"/>
      <rgbColor rgb="FF969696"/>
      <rgbColor rgb="FF003366"/>
      <rgbColor rgb="FF339966"/>
      <rgbColor rgb="FF1326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8"/>
    <col collapsed="false" customWidth="true" hidden="false" outlineLevel="0" max="10" min="10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n">
        <v>46328</v>
      </c>
      <c r="D2" s="4" t="s">
        <v>2</v>
      </c>
    </row>
    <row r="3" customFormat="false" ht="15" hidden="false" customHeight="false" outlineLevel="0" collapsed="false">
      <c r="A3" s="2" t="s">
        <v>3</v>
      </c>
      <c r="C3" s="5" t="n">
        <f aca="false">COUNTIF(I6:I18,"Yes")/COUNTA(A6:A18)</f>
        <v>0</v>
      </c>
      <c r="D3" s="4" t="s">
        <v>4</v>
      </c>
    </row>
    <row r="5" customFormat="false" ht="15" hidden="false" customHeight="false" outlineLevel="0" collapsed="false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</row>
    <row r="6" customFormat="false" ht="78" hidden="false" customHeight="true" outlineLevel="0" collapsed="false">
      <c r="A6" s="7" t="n">
        <v>1</v>
      </c>
      <c r="B6" s="8" t="n">
        <f aca="false">$C$2+7*(A6-1)</f>
        <v>46328</v>
      </c>
      <c r="C6" s="9" t="s">
        <v>15</v>
      </c>
      <c r="D6" s="10" t="s">
        <v>16</v>
      </c>
      <c r="E6" s="9" t="s">
        <v>17</v>
      </c>
      <c r="F6" s="9" t="s">
        <v>18</v>
      </c>
      <c r="G6" s="9" t="s">
        <v>19</v>
      </c>
      <c r="H6" s="10" t="s">
        <v>20</v>
      </c>
      <c r="I6" s="11" t="s">
        <v>21</v>
      </c>
      <c r="J6" s="12"/>
    </row>
    <row r="7" customFormat="false" ht="78" hidden="false" customHeight="true" outlineLevel="0" collapsed="false">
      <c r="A7" s="7" t="n">
        <v>2</v>
      </c>
      <c r="B7" s="8" t="n">
        <f aca="false">$C$2+7*(A7-1)</f>
        <v>46335</v>
      </c>
      <c r="C7" s="9" t="s">
        <v>15</v>
      </c>
      <c r="D7" s="10" t="s">
        <v>22</v>
      </c>
      <c r="E7" s="9" t="s">
        <v>23</v>
      </c>
      <c r="F7" s="9" t="s">
        <v>24</v>
      </c>
      <c r="G7" s="9" t="s">
        <v>25</v>
      </c>
      <c r="H7" s="10" t="s">
        <v>26</v>
      </c>
      <c r="I7" s="11" t="s">
        <v>21</v>
      </c>
      <c r="J7" s="12"/>
    </row>
    <row r="8" customFormat="false" ht="78" hidden="false" customHeight="true" outlineLevel="0" collapsed="false">
      <c r="A8" s="7" t="n">
        <v>3</v>
      </c>
      <c r="B8" s="8" t="n">
        <f aca="false">$C$2+7*(A8-1)</f>
        <v>46342</v>
      </c>
      <c r="C8" s="9" t="s">
        <v>15</v>
      </c>
      <c r="D8" s="10" t="s">
        <v>27</v>
      </c>
      <c r="E8" s="9" t="s">
        <v>28</v>
      </c>
      <c r="F8" s="9" t="s">
        <v>29</v>
      </c>
      <c r="G8" s="9" t="s">
        <v>30</v>
      </c>
      <c r="H8" s="10" t="s">
        <v>31</v>
      </c>
      <c r="I8" s="11" t="s">
        <v>21</v>
      </c>
      <c r="J8" s="12"/>
    </row>
    <row r="9" customFormat="false" ht="78" hidden="false" customHeight="true" outlineLevel="0" collapsed="false">
      <c r="A9" s="7" t="n">
        <v>4</v>
      </c>
      <c r="B9" s="8" t="n">
        <f aca="false">$C$2+7*(A9-1)</f>
        <v>46349</v>
      </c>
      <c r="C9" s="9" t="s">
        <v>15</v>
      </c>
      <c r="D9" s="10" t="s">
        <v>32</v>
      </c>
      <c r="E9" s="9" t="s">
        <v>33</v>
      </c>
      <c r="F9" s="9" t="s">
        <v>34</v>
      </c>
      <c r="G9" s="9" t="s">
        <v>35</v>
      </c>
      <c r="H9" s="10" t="s">
        <v>36</v>
      </c>
      <c r="I9" s="11" t="s">
        <v>21</v>
      </c>
      <c r="J9" s="12"/>
    </row>
    <row r="10" customFormat="false" ht="78" hidden="false" customHeight="true" outlineLevel="0" collapsed="false">
      <c r="A10" s="13" t="n">
        <v>5</v>
      </c>
      <c r="B10" s="14" t="n">
        <f aca="false">$C$2+7*(A10-1)</f>
        <v>46356</v>
      </c>
      <c r="C10" s="15" t="s">
        <v>37</v>
      </c>
      <c r="D10" s="16" t="s">
        <v>38</v>
      </c>
      <c r="E10" s="15" t="s">
        <v>39</v>
      </c>
      <c r="F10" s="15" t="s">
        <v>40</v>
      </c>
      <c r="G10" s="15" t="s">
        <v>41</v>
      </c>
      <c r="H10" s="16" t="s">
        <v>42</v>
      </c>
      <c r="I10" s="11" t="s">
        <v>21</v>
      </c>
      <c r="J10" s="12"/>
    </row>
    <row r="11" customFormat="false" ht="78" hidden="false" customHeight="true" outlineLevel="0" collapsed="false">
      <c r="A11" s="13" t="n">
        <v>6</v>
      </c>
      <c r="B11" s="14" t="n">
        <f aca="false">$C$2+7*(A11-1)</f>
        <v>46363</v>
      </c>
      <c r="C11" s="15" t="s">
        <v>37</v>
      </c>
      <c r="D11" s="16" t="s">
        <v>43</v>
      </c>
      <c r="E11" s="15" t="s">
        <v>44</v>
      </c>
      <c r="F11" s="15" t="s">
        <v>45</v>
      </c>
      <c r="G11" s="15" t="s">
        <v>46</v>
      </c>
      <c r="H11" s="16" t="s">
        <v>47</v>
      </c>
      <c r="I11" s="11" t="s">
        <v>21</v>
      </c>
      <c r="J11" s="12"/>
    </row>
    <row r="12" customFormat="false" ht="78" hidden="false" customHeight="true" outlineLevel="0" collapsed="false">
      <c r="A12" s="13" t="n">
        <v>7</v>
      </c>
      <c r="B12" s="14" t="n">
        <f aca="false">$C$2+7*(A12-1)</f>
        <v>46370</v>
      </c>
      <c r="C12" s="15" t="s">
        <v>37</v>
      </c>
      <c r="D12" s="16" t="s">
        <v>48</v>
      </c>
      <c r="E12" s="15" t="s">
        <v>49</v>
      </c>
      <c r="F12" s="15" t="s">
        <v>50</v>
      </c>
      <c r="G12" s="15" t="s">
        <v>51</v>
      </c>
      <c r="H12" s="16" t="s">
        <v>52</v>
      </c>
      <c r="I12" s="11" t="s">
        <v>21</v>
      </c>
      <c r="J12" s="12"/>
    </row>
    <row r="13" customFormat="false" ht="78" hidden="false" customHeight="true" outlineLevel="0" collapsed="false">
      <c r="A13" s="13" t="n">
        <v>8</v>
      </c>
      <c r="B13" s="14" t="n">
        <f aca="false">$C$2+7*(A13-1)</f>
        <v>46377</v>
      </c>
      <c r="C13" s="15" t="s">
        <v>37</v>
      </c>
      <c r="D13" s="16" t="s">
        <v>53</v>
      </c>
      <c r="E13" s="15" t="s">
        <v>54</v>
      </c>
      <c r="F13" s="15" t="s">
        <v>55</v>
      </c>
      <c r="G13" s="15" t="s">
        <v>56</v>
      </c>
      <c r="H13" s="16" t="s">
        <v>57</v>
      </c>
      <c r="I13" s="11" t="s">
        <v>21</v>
      </c>
      <c r="J13" s="12"/>
    </row>
    <row r="14" customFormat="false" ht="78" hidden="false" customHeight="true" outlineLevel="0" collapsed="false">
      <c r="A14" s="17" t="n">
        <v>9</v>
      </c>
      <c r="B14" s="18" t="n">
        <f aca="false">$C$2+7*(A14-1)</f>
        <v>46384</v>
      </c>
      <c r="C14" s="19" t="s">
        <v>58</v>
      </c>
      <c r="D14" s="20" t="s">
        <v>59</v>
      </c>
      <c r="E14" s="19" t="s">
        <v>60</v>
      </c>
      <c r="F14" s="19" t="s">
        <v>61</v>
      </c>
      <c r="G14" s="19" t="s">
        <v>62</v>
      </c>
      <c r="H14" s="20" t="s">
        <v>63</v>
      </c>
      <c r="I14" s="11" t="s">
        <v>21</v>
      </c>
      <c r="J14" s="12"/>
    </row>
    <row r="15" customFormat="false" ht="78" hidden="false" customHeight="true" outlineLevel="0" collapsed="false">
      <c r="A15" s="17" t="n">
        <v>10</v>
      </c>
      <c r="B15" s="18" t="n">
        <f aca="false">$C$2+7*(A15-1)</f>
        <v>46391</v>
      </c>
      <c r="C15" s="19" t="s">
        <v>58</v>
      </c>
      <c r="D15" s="20" t="s">
        <v>64</v>
      </c>
      <c r="E15" s="19" t="s">
        <v>65</v>
      </c>
      <c r="F15" s="19" t="s">
        <v>66</v>
      </c>
      <c r="G15" s="19" t="s">
        <v>67</v>
      </c>
      <c r="H15" s="20" t="s">
        <v>68</v>
      </c>
      <c r="I15" s="11" t="s">
        <v>21</v>
      </c>
      <c r="J15" s="12"/>
    </row>
    <row r="16" customFormat="false" ht="78" hidden="false" customHeight="true" outlineLevel="0" collapsed="false">
      <c r="A16" s="17" t="n">
        <v>11</v>
      </c>
      <c r="B16" s="18" t="n">
        <f aca="false">$C$2+7*(A16-1)</f>
        <v>46398</v>
      </c>
      <c r="C16" s="19" t="s">
        <v>58</v>
      </c>
      <c r="D16" s="20" t="s">
        <v>69</v>
      </c>
      <c r="E16" s="19" t="s">
        <v>70</v>
      </c>
      <c r="F16" s="19" t="s">
        <v>71</v>
      </c>
      <c r="G16" s="19" t="s">
        <v>72</v>
      </c>
      <c r="H16" s="20" t="s">
        <v>73</v>
      </c>
      <c r="I16" s="11" t="s">
        <v>21</v>
      </c>
      <c r="J16" s="12"/>
    </row>
    <row r="17" customFormat="false" ht="78" hidden="false" customHeight="true" outlineLevel="0" collapsed="false">
      <c r="A17" s="17" t="n">
        <v>12</v>
      </c>
      <c r="B17" s="18" t="n">
        <f aca="false">$C$2+7*(A17-1)</f>
        <v>46405</v>
      </c>
      <c r="C17" s="19" t="s">
        <v>58</v>
      </c>
      <c r="D17" s="20" t="s">
        <v>74</v>
      </c>
      <c r="E17" s="19" t="s">
        <v>75</v>
      </c>
      <c r="F17" s="19" t="s">
        <v>76</v>
      </c>
      <c r="G17" s="19" t="s">
        <v>77</v>
      </c>
      <c r="H17" s="20" t="s">
        <v>78</v>
      </c>
      <c r="I17" s="11" t="s">
        <v>21</v>
      </c>
      <c r="J17" s="12"/>
    </row>
    <row r="18" customFormat="false" ht="78" hidden="false" customHeight="true" outlineLevel="0" collapsed="false">
      <c r="A18" s="21" t="n">
        <v>13</v>
      </c>
      <c r="B18" s="22" t="n">
        <f aca="false">$C$2+7*(A18-1)</f>
        <v>46412</v>
      </c>
      <c r="C18" s="23" t="s">
        <v>79</v>
      </c>
      <c r="D18" s="24" t="s">
        <v>80</v>
      </c>
      <c r="E18" s="23" t="s">
        <v>81</v>
      </c>
      <c r="F18" s="23" t="s">
        <v>82</v>
      </c>
      <c r="G18" s="23" t="s">
        <v>83</v>
      </c>
      <c r="H18" s="24" t="s">
        <v>84</v>
      </c>
      <c r="I18" s="11" t="s">
        <v>21</v>
      </c>
      <c r="J18" s="12"/>
    </row>
  </sheetData>
  <conditionalFormatting sqref="I6:I18">
    <cfRule type="cellIs" priority="2" operator="equal" aboveAverage="0" equalAverage="0" bottom="0" percent="0" rank="0" text="" dxfId="0">
      <formula>"Yes"</formula>
    </cfRule>
  </conditionalFormatting>
  <dataValidations count="1">
    <dataValidation allowBlank="true" errorStyle="stop" operator="between" showDropDown="false" showErrorMessage="false" showInputMessage="false" sqref="I6:I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52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4" t="s">
        <v>86</v>
      </c>
    </row>
    <row r="4" customFormat="false" ht="26.85" hidden="false" customHeight="false" outlineLevel="0" collapsed="false">
      <c r="A4" s="6" t="s">
        <v>87</v>
      </c>
      <c r="B4" s="6" t="s">
        <v>88</v>
      </c>
      <c r="C4" s="6" t="s">
        <v>89</v>
      </c>
      <c r="D4" s="6" t="s">
        <v>90</v>
      </c>
      <c r="E4" s="6" t="s">
        <v>91</v>
      </c>
      <c r="F4" s="6" t="s">
        <v>92</v>
      </c>
      <c r="G4" s="6" t="s">
        <v>93</v>
      </c>
      <c r="H4" s="6" t="s">
        <v>94</v>
      </c>
      <c r="I4" s="6" t="s">
        <v>95</v>
      </c>
      <c r="J4" s="6" t="s">
        <v>96</v>
      </c>
      <c r="K4" s="6" t="s">
        <v>97</v>
      </c>
    </row>
    <row r="5" customFormat="false" ht="33.75" hidden="false" customHeight="true" outlineLevel="0" collapsed="false">
      <c r="A5" s="25" t="s">
        <v>98</v>
      </c>
      <c r="B5" s="26" t="n">
        <v>4</v>
      </c>
      <c r="C5" s="27"/>
      <c r="D5" s="26" t="str">
        <f aca="false">IF(C5="","",IF(C5&gt;=B5,"On track","Behind"))</f>
        <v/>
      </c>
      <c r="E5" s="26" t="n">
        <v>4</v>
      </c>
      <c r="F5" s="27"/>
      <c r="G5" s="26" t="str">
        <f aca="false">IF(F5="","",IF(F5&gt;=E5,"On track","Behind"))</f>
        <v/>
      </c>
      <c r="H5" s="26" t="n">
        <v>6</v>
      </c>
      <c r="I5" s="27"/>
      <c r="J5" s="26" t="str">
        <f aca="false">IF(I5="","",IF(I5&gt;=H5,"On track","Behind"))</f>
        <v/>
      </c>
      <c r="K5" s="28" t="s">
        <v>99</v>
      </c>
    </row>
    <row r="6" customFormat="false" ht="33.75" hidden="false" customHeight="true" outlineLevel="0" collapsed="false">
      <c r="A6" s="25" t="s">
        <v>100</v>
      </c>
      <c r="B6" s="26" t="n">
        <v>3</v>
      </c>
      <c r="C6" s="27"/>
      <c r="D6" s="26" t="str">
        <f aca="false">IF(C6="","",IF(C6&gt;=B6,"On track","Behind"))</f>
        <v/>
      </c>
      <c r="E6" s="26" t="n">
        <v>3</v>
      </c>
      <c r="F6" s="27"/>
      <c r="G6" s="26" t="str">
        <f aca="false">IF(F6="","",IF(F6&gt;=E6,"On track","Behind"))</f>
        <v/>
      </c>
      <c r="H6" s="26" t="n">
        <v>3</v>
      </c>
      <c r="I6" s="27"/>
      <c r="J6" s="26" t="str">
        <f aca="false">IF(I6="","",IF(I6&gt;=H6,"On track","Behind"))</f>
        <v/>
      </c>
      <c r="K6" s="28" t="s">
        <v>101</v>
      </c>
    </row>
    <row r="7" customFormat="false" ht="33.75" hidden="false" customHeight="true" outlineLevel="0" collapsed="false">
      <c r="A7" s="25" t="s">
        <v>102</v>
      </c>
      <c r="B7" s="26" t="n">
        <v>1</v>
      </c>
      <c r="C7" s="27"/>
      <c r="D7" s="26" t="str">
        <f aca="false">IF(C7="","",IF(C7&gt;=B7,"On track","Behind"))</f>
        <v/>
      </c>
      <c r="E7" s="26" t="n">
        <v>3</v>
      </c>
      <c r="F7" s="27"/>
      <c r="G7" s="26" t="str">
        <f aca="false">IF(F7="","",IF(F7&gt;=E7,"On track","Behind"))</f>
        <v/>
      </c>
      <c r="H7" s="26" t="n">
        <v>5</v>
      </c>
      <c r="I7" s="27"/>
      <c r="J7" s="26" t="str">
        <f aca="false">IF(I7="","",IF(I7&gt;=H7,"On track","Behind"))</f>
        <v/>
      </c>
      <c r="K7" s="28" t="s">
        <v>103</v>
      </c>
    </row>
    <row r="8" customFormat="false" ht="33.75" hidden="false" customHeight="true" outlineLevel="0" collapsed="false">
      <c r="A8" s="25" t="s">
        <v>104</v>
      </c>
      <c r="B8" s="26" t="n">
        <v>5</v>
      </c>
      <c r="C8" s="27"/>
      <c r="D8" s="26" t="str">
        <f aca="false">IF(C8="","",IF(C8&gt;=B8,"On track","Behind"))</f>
        <v/>
      </c>
      <c r="E8" s="26" t="n">
        <v>12</v>
      </c>
      <c r="F8" s="27"/>
      <c r="G8" s="26" t="str">
        <f aca="false">IF(F8="","",IF(F8&gt;=E8,"On track","Behind"))</f>
        <v/>
      </c>
      <c r="H8" s="26" t="n">
        <v>20</v>
      </c>
      <c r="I8" s="27"/>
      <c r="J8" s="26" t="str">
        <f aca="false">IF(I8="","",IF(I8&gt;=H8,"On track","Behind"))</f>
        <v/>
      </c>
      <c r="K8" s="28" t="s">
        <v>105</v>
      </c>
    </row>
    <row r="9" customFormat="false" ht="33.75" hidden="false" customHeight="true" outlineLevel="0" collapsed="false">
      <c r="A9" s="25" t="s">
        <v>106</v>
      </c>
      <c r="B9" s="26" t="n">
        <v>0</v>
      </c>
      <c r="C9" s="27"/>
      <c r="D9" s="26" t="str">
        <f aca="false">IF(C9="","",IF(C9&gt;=B9,"On track","Behind"))</f>
        <v/>
      </c>
      <c r="E9" s="26" t="n">
        <v>1</v>
      </c>
      <c r="F9" s="27"/>
      <c r="G9" s="26" t="str">
        <f aca="false">IF(F9="","",IF(F9&gt;=E9,"On track","Behind"))</f>
        <v/>
      </c>
      <c r="H9" s="26" t="n">
        <v>3</v>
      </c>
      <c r="I9" s="27"/>
      <c r="J9" s="26" t="str">
        <f aca="false">IF(I9="","",IF(I9&gt;=H9,"On track","Behind"))</f>
        <v/>
      </c>
      <c r="K9" s="28" t="s">
        <v>107</v>
      </c>
    </row>
    <row r="10" customFormat="false" ht="33.75" hidden="false" customHeight="true" outlineLevel="0" collapsed="false">
      <c r="A10" s="25" t="s">
        <v>108</v>
      </c>
      <c r="B10" s="29" t="n">
        <v>0</v>
      </c>
      <c r="C10" s="30"/>
      <c r="D10" s="26" t="str">
        <f aca="false">IF(C10="","",IF(C10&gt;=B10,"On track","Behind"))</f>
        <v/>
      </c>
      <c r="E10" s="29" t="n">
        <v>750</v>
      </c>
      <c r="F10" s="30"/>
      <c r="G10" s="26" t="str">
        <f aca="false">IF(F10="","",IF(F10&gt;=E10,"On track","Behind"))</f>
        <v/>
      </c>
      <c r="H10" s="29" t="n">
        <v>3250</v>
      </c>
      <c r="I10" s="30"/>
      <c r="J10" s="26" t="str">
        <f aca="false">IF(I10="","",IF(I10&gt;=H10,"On track","Behind"))</f>
        <v/>
      </c>
      <c r="K10" s="28" t="s">
        <v>109</v>
      </c>
    </row>
    <row r="11" customFormat="false" ht="33.75" hidden="false" customHeight="true" outlineLevel="0" collapsed="false">
      <c r="A11" s="25" t="s">
        <v>110</v>
      </c>
      <c r="B11" s="26" t="n">
        <v>2</v>
      </c>
      <c r="C11" s="27"/>
      <c r="D11" s="26" t="str">
        <f aca="false">IF(C11="","",IF(C11&gt;=B11,"On track","Behind"))</f>
        <v/>
      </c>
      <c r="E11" s="26" t="n">
        <v>2</v>
      </c>
      <c r="F11" s="27"/>
      <c r="G11" s="26" t="str">
        <f aca="false">IF(F11="","",IF(F11&gt;=E11,"On track","Behind"))</f>
        <v/>
      </c>
      <c r="H11" s="26" t="n">
        <v>3</v>
      </c>
      <c r="I11" s="27"/>
      <c r="J11" s="26" t="str">
        <f aca="false">IF(I11="","",IF(I11&gt;=H11,"On track","Behind"))</f>
        <v/>
      </c>
      <c r="K11" s="28" t="s">
        <v>111</v>
      </c>
    </row>
  </sheetData>
  <conditionalFormatting sqref="D5:D11">
    <cfRule type="cellIs" priority="2" operator="equal" aboveAverage="0" equalAverage="0" bottom="0" percent="0" rank="0" text="" dxfId="1">
      <formula>"On track"</formula>
    </cfRule>
    <cfRule type="cellIs" priority="3" operator="equal" aboveAverage="0" equalAverage="0" bottom="0" percent="0" rank="0" text="" dxfId="2">
      <formula>"Behind"</formula>
    </cfRule>
  </conditionalFormatting>
  <conditionalFormatting sqref="G5:G11">
    <cfRule type="cellIs" priority="4" operator="equal" aboveAverage="0" equalAverage="0" bottom="0" percent="0" rank="0" text="" dxfId="1">
      <formula>"On track"</formula>
    </cfRule>
    <cfRule type="cellIs" priority="5" operator="equal" aboveAverage="0" equalAverage="0" bottom="0" percent="0" rank="0" text="" dxfId="2">
      <formula>"Behind"</formula>
    </cfRule>
  </conditionalFormatting>
  <conditionalFormatting sqref="J5:J11">
    <cfRule type="cellIs" priority="6" operator="equal" aboveAverage="0" equalAverage="0" bottom="0" percent="0" rank="0" text="" dxfId="1">
      <formula>"On track"</formula>
    </cfRule>
    <cfRule type="cellIs" priority="7" operator="equal" aboveAverage="0" equalAverage="0" bottom="0" percent="0" rank="0" text="" dxfId="2">
      <formula>"Behind"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112</v>
      </c>
    </row>
    <row r="3" customFormat="false" ht="15" hidden="false" customHeight="false" outlineLevel="0" collapsed="false">
      <c r="A3" s="2" t="n">
        <v>1</v>
      </c>
      <c r="B3" s="31" t="s">
        <v>113</v>
      </c>
    </row>
    <row r="4" customFormat="false" ht="15" hidden="false" customHeight="false" outlineLevel="0" collapsed="false">
      <c r="A4" s="2" t="n">
        <v>2</v>
      </c>
      <c r="B4" s="31" t="s">
        <v>114</v>
      </c>
    </row>
    <row r="5" customFormat="false" ht="15" hidden="false" customHeight="false" outlineLevel="0" collapsed="false">
      <c r="A5" s="2" t="n">
        <v>3</v>
      </c>
      <c r="B5" s="31" t="s">
        <v>115</v>
      </c>
    </row>
    <row r="6" customFormat="false" ht="15" hidden="false" customHeight="false" outlineLevel="0" collapsed="false">
      <c r="A6" s="2" t="n">
        <v>4</v>
      </c>
      <c r="B6" s="31" t="s">
        <v>116</v>
      </c>
    </row>
    <row r="7" customFormat="false" ht="15" hidden="false" customHeight="false" outlineLevel="0" collapsed="false">
      <c r="A7" s="2" t="n">
        <v>5</v>
      </c>
      <c r="B7" s="31" t="s">
        <v>117</v>
      </c>
    </row>
    <row r="8" customFormat="false" ht="15" hidden="false" customHeight="false" outlineLevel="0" collapsed="false">
      <c r="A8" s="2" t="n">
        <v>6</v>
      </c>
      <c r="B8" s="31" t="s">
        <v>118</v>
      </c>
    </row>
    <row r="9" customFormat="false" ht="15" hidden="false" customHeight="false" outlineLevel="0" collapsed="false">
      <c r="A9" s="2" t="n">
        <v>7</v>
      </c>
      <c r="B9" s="31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2026-10-28T13:37:23Z</dcterms:created>
  <dc:creator>openpyxl</dc:creator>
  <dc:description/>
  <dc:language>en-US</dc:language>
  <cp:lastModifiedBy/>
  <dcterms:modified xsi:type="dcterms:W3CDTF">2026-10-28T13:37:23Z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